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lgoC++\lab1\"/>
    </mc:Choice>
  </mc:AlternateContent>
  <xr:revisionPtr revIDLastSave="0" documentId="13_ncr:1_{191D77AB-A588-486D-9B29-53C24A57CF54}" xr6:coauthVersionLast="47" xr6:coauthVersionMax="47" xr10:uidLastSave="{00000000-0000-0000-0000-000000000000}"/>
  <bookViews>
    <workbookView xWindow="-108" yWindow="-108" windowWidth="23256" windowHeight="12456" xr2:uid="{39B53C4D-6EED-44FF-AD30-97265F6C42E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O3" i="1"/>
  <c r="O4" i="1"/>
  <c r="O5" i="1"/>
  <c r="O6" i="1"/>
  <c r="O7" i="1"/>
  <c r="O8" i="1"/>
  <c r="O9" i="1"/>
  <c r="O10" i="1"/>
  <c r="C3" i="1"/>
  <c r="C4" i="1"/>
  <c r="C5" i="1"/>
  <c r="C6" i="1"/>
  <c r="C7" i="1"/>
  <c r="C8" i="1"/>
  <c r="C9" i="1"/>
  <c r="C10" i="1"/>
  <c r="C2" i="1"/>
  <c r="D2" i="1"/>
</calcChain>
</file>

<file path=xl/sharedStrings.xml><?xml version="1.0" encoding="utf-8"?>
<sst xmlns="http://schemas.openxmlformats.org/spreadsheetml/2006/main" count="12" uniqueCount="7">
  <si>
    <t>Длина</t>
  </si>
  <si>
    <t>Время</t>
  </si>
  <si>
    <t>Мин</t>
  </si>
  <si>
    <t>Среднее</t>
  </si>
  <si>
    <t>Кол-во обменов</t>
  </si>
  <si>
    <t>Макс</t>
  </si>
  <si>
    <t>Кол-во обходов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</si>
</sst>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работы сортировки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Массив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Лист1!$A$2:$A$10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Лист1!$B$2:$B$10</c:f>
              <c:numCache>
                <c:formatCode>General</c:formatCode>
                <c:ptCount val="9"/>
                <c:pt idx="0">
                  <c:v>0</c:v>
                </c:pt>
                <c:pt idx="1">
                  <c:v>2.5000000000000001E-2</c:v>
                </c:pt>
                <c:pt idx="2">
                  <c:v>0.153</c:v>
                </c:pt>
                <c:pt idx="3">
                  <c:v>0.39700000000000002</c:v>
                </c:pt>
                <c:pt idx="4">
                  <c:v>0.90600000000000003</c:v>
                </c:pt>
                <c:pt idx="5">
                  <c:v>3.4319999999999999</c:v>
                </c:pt>
                <c:pt idx="6">
                  <c:v>13.94</c:v>
                </c:pt>
                <c:pt idx="7">
                  <c:v>55.92</c:v>
                </c:pt>
                <c:pt idx="8">
                  <c:v>437.96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D-4A7E-A8E1-55B33142EBFB}"/>
            </c:ext>
          </c:extLst>
        </c:ser>
        <c:ser>
          <c:idx val="1"/>
          <c:order val="1"/>
          <c:tx>
            <c:v>O(n^2)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Лист1!$A$2:$A$10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Лист1!$C$2:$C$10</c:f>
              <c:numCache>
                <c:formatCode>General</c:formatCode>
                <c:ptCount val="9"/>
                <c:pt idx="0">
                  <c:v>0</c:v>
                </c:pt>
                <c:pt idx="1">
                  <c:v>4.9999999999999996E-2</c:v>
                </c:pt>
                <c:pt idx="2">
                  <c:v>0.19999999999999998</c:v>
                </c:pt>
                <c:pt idx="3">
                  <c:v>0.79999999999999993</c:v>
                </c:pt>
                <c:pt idx="4">
                  <c:v>3.1999999999999997</c:v>
                </c:pt>
                <c:pt idx="5">
                  <c:v>12.799999999999999</c:v>
                </c:pt>
                <c:pt idx="6">
                  <c:v>51.199999999999996</c:v>
                </c:pt>
                <c:pt idx="7">
                  <c:v>204.79999999999998</c:v>
                </c:pt>
                <c:pt idx="8">
                  <c:v>819.19999999999993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CED-4A7E-A8E1-55B33142EBFB}"/>
            </c:ext>
          </c:extLst>
        </c:ser>
        <c:ser>
          <c:idx val="2"/>
          <c:order val="2"/>
          <c:tx>
            <c:v>Список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Лист1!$A$3:$A$10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Лист1!$D$3:$D$10</c:f>
              <c:numCache>
                <c:formatCode>General</c:formatCode>
                <c:ptCount val="8"/>
                <c:pt idx="0">
                  <c:v>5.1999999999999998E-2</c:v>
                </c:pt>
                <c:pt idx="1">
                  <c:v>0.193</c:v>
                </c:pt>
                <c:pt idx="2">
                  <c:v>0.82199999999999995</c:v>
                </c:pt>
                <c:pt idx="3">
                  <c:v>3.1</c:v>
                </c:pt>
                <c:pt idx="4">
                  <c:v>10.02</c:v>
                </c:pt>
                <c:pt idx="5">
                  <c:v>38.619999999999997</c:v>
                </c:pt>
                <c:pt idx="6">
                  <c:v>156.13</c:v>
                </c:pt>
                <c:pt idx="7">
                  <c:v>1154.23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8-4C0D-A569-DDC3DAC61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992720"/>
        <c:axId val="652990560"/>
      </c:scatterChart>
      <c:valAx>
        <c:axId val="65299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 массива, тыс.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990560"/>
        <c:crosses val="autoZero"/>
        <c:crossBetween val="midCat"/>
        <c:dispUnits>
          <c:builtInUnit val="thousands"/>
        </c:dispUnits>
      </c:valAx>
      <c:valAx>
        <c:axId val="6529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99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Граничная эффективность работы сортировки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Макс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Лист1!$F$2:$F$10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Лист1!$G$2:$G$10</c:f>
              <c:numCache>
                <c:formatCode>0.000</c:formatCode>
                <c:ptCount val="9"/>
                <c:pt idx="0">
                  <c:v>0</c:v>
                </c:pt>
                <c:pt idx="1">
                  <c:v>2.5000000000000001E-2</c:v>
                </c:pt>
                <c:pt idx="2">
                  <c:v>0.153</c:v>
                </c:pt>
                <c:pt idx="3">
                  <c:v>0.39700000000000002</c:v>
                </c:pt>
                <c:pt idx="4">
                  <c:v>0.90600000000000003</c:v>
                </c:pt>
                <c:pt idx="5">
                  <c:v>3.4319999999999999</c:v>
                </c:pt>
                <c:pt idx="6">
                  <c:v>13.94</c:v>
                </c:pt>
                <c:pt idx="7">
                  <c:v>55.92</c:v>
                </c:pt>
                <c:pt idx="8">
                  <c:v>437.96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E-49AD-9020-57BCE8960CE8}"/>
            </c:ext>
          </c:extLst>
        </c:ser>
        <c:ser>
          <c:idx val="1"/>
          <c:order val="1"/>
          <c:tx>
            <c:strRef>
              <c:f>Лист1!$H$1</c:f>
              <c:strCache>
                <c:ptCount val="1"/>
                <c:pt idx="0">
                  <c:v>Мин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Лист1!$F$2:$F$10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Лист1!$H$2:$H$10</c:f>
              <c:numCache>
                <c:formatCode>0.000</c:formatCode>
                <c:ptCount val="9"/>
                <c:pt idx="0">
                  <c:v>0</c:v>
                </c:pt>
                <c:pt idx="1">
                  <c:v>1.6E-2</c:v>
                </c:pt>
                <c:pt idx="2">
                  <c:v>6.9000000000000006E-2</c:v>
                </c:pt>
                <c:pt idx="3">
                  <c:v>0.20100000000000001</c:v>
                </c:pt>
                <c:pt idx="4">
                  <c:v>0.82699999999999996</c:v>
                </c:pt>
                <c:pt idx="5">
                  <c:v>3.371</c:v>
                </c:pt>
                <c:pt idx="6">
                  <c:v>13.82</c:v>
                </c:pt>
                <c:pt idx="7">
                  <c:v>55.69</c:v>
                </c:pt>
                <c:pt idx="8">
                  <c:v>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E-49AD-9020-57BCE8960CE8}"/>
            </c:ext>
          </c:extLst>
        </c:ser>
        <c:ser>
          <c:idx val="2"/>
          <c:order val="2"/>
          <c:tx>
            <c:strRef>
              <c:f>Лист1!$I$1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Лист1!$F$2:$F$10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Лист1!$I$2:$I$10</c:f>
              <c:numCache>
                <c:formatCode>0.000</c:formatCode>
                <c:ptCount val="9"/>
                <c:pt idx="0">
                  <c:v>0</c:v>
                </c:pt>
                <c:pt idx="1">
                  <c:v>0.02</c:v>
                </c:pt>
                <c:pt idx="2">
                  <c:v>0.9</c:v>
                </c:pt>
                <c:pt idx="3">
                  <c:v>0.3</c:v>
                </c:pt>
                <c:pt idx="4">
                  <c:v>0.85</c:v>
                </c:pt>
                <c:pt idx="5">
                  <c:v>3.4</c:v>
                </c:pt>
                <c:pt idx="6">
                  <c:v>13.9</c:v>
                </c:pt>
                <c:pt idx="7">
                  <c:v>55.8</c:v>
                </c:pt>
                <c:pt idx="8">
                  <c:v>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E-49AD-9020-57BCE8960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982232"/>
        <c:axId val="532988712"/>
      </c:scatterChart>
      <c:valAx>
        <c:axId val="53298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Длина массива, тыс.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98871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53298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>
                      <a:lumMod val="7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982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Лист1!$L$1</c:f>
              <c:strCache>
                <c:ptCount val="1"/>
                <c:pt idx="0">
                  <c:v>Кол-во обменов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Лист1!$K$2:$K$10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Лист1!$L$2:$L$10</c:f>
              <c:numCache>
                <c:formatCode>0</c:formatCode>
                <c:ptCount val="9"/>
                <c:pt idx="0">
                  <c:v>0</c:v>
                </c:pt>
                <c:pt idx="1">
                  <c:v>249000</c:v>
                </c:pt>
                <c:pt idx="2">
                  <c:v>1000000</c:v>
                </c:pt>
                <c:pt idx="3">
                  <c:v>4063125</c:v>
                </c:pt>
                <c:pt idx="4">
                  <c:v>16051690</c:v>
                </c:pt>
                <c:pt idx="5">
                  <c:v>64578566</c:v>
                </c:pt>
                <c:pt idx="6">
                  <c:v>256179766</c:v>
                </c:pt>
                <c:pt idx="7">
                  <c:v>1027547140</c:v>
                </c:pt>
                <c:pt idx="8">
                  <c:v>4101506355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4-4C49-B4B6-CEA3374DC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13968"/>
        <c:axId val="646712528"/>
      </c:scatterChart>
      <c:valAx>
        <c:axId val="6467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Длина массива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71252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64671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7139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Кол-во обходов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Лист1!$N$2:$N$10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Лист1!$O$2:$O$10</c:f>
              <c:numCache>
                <c:formatCode>0.00</c:formatCode>
                <c:ptCount val="9"/>
                <c:pt idx="0">
                  <c:v>0</c:v>
                </c:pt>
                <c:pt idx="1">
                  <c:v>999</c:v>
                </c:pt>
                <c:pt idx="2">
                  <c:v>1999</c:v>
                </c:pt>
                <c:pt idx="3">
                  <c:v>3999</c:v>
                </c:pt>
                <c:pt idx="4">
                  <c:v>7999</c:v>
                </c:pt>
                <c:pt idx="5">
                  <c:v>15999</c:v>
                </c:pt>
                <c:pt idx="6">
                  <c:v>31999</c:v>
                </c:pt>
                <c:pt idx="7">
                  <c:v>63999</c:v>
                </c:pt>
                <c:pt idx="8">
                  <c:v>127999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71-477B-A1A3-BF984C599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67552"/>
        <c:axId val="748567912"/>
      </c:scatterChart>
      <c:valAx>
        <c:axId val="74856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Длина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56791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74856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56755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26</xdr:row>
      <xdr:rowOff>41910</xdr:rowOff>
    </xdr:from>
    <xdr:to>
      <xdr:col>7</xdr:col>
      <xdr:colOff>91440</xdr:colOff>
      <xdr:row>41</xdr:row>
      <xdr:rowOff>41910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A34C49F-655B-2B32-767C-B776608C0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10</xdr:row>
      <xdr:rowOff>41910</xdr:rowOff>
    </xdr:from>
    <xdr:to>
      <xdr:col>7</xdr:col>
      <xdr:colOff>99060</xdr:colOff>
      <xdr:row>25</xdr:row>
      <xdr:rowOff>41910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30EC3E4-4F78-2207-20D6-D9A4FD52C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510540</xdr:colOff>
      <xdr:row>10</xdr:row>
      <xdr:rowOff>49530</xdr:rowOff>
    </xdr:from>
    <xdr:to>
      <xdr:col>14</xdr:col>
      <xdr:colOff>411480</xdr:colOff>
      <xdr:row>25</xdr:row>
      <xdr:rowOff>49530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9378F3F-5A9D-8219-C88D-C7ACAEB07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556260</xdr:colOff>
      <xdr:row>26</xdr:row>
      <xdr:rowOff>133350</xdr:rowOff>
    </xdr:from>
    <xdr:to>
      <xdr:col>14</xdr:col>
      <xdr:colOff>419100</xdr:colOff>
      <xdr:row>41</xdr:row>
      <xdr:rowOff>133350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D62BD9B-E943-A529-6D3A-24C63A1A5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BB82-9E17-407A-A1FF-B210B2A15477}">
  <dimension ref="A1:R10"/>
  <sheetViews>
    <sheetView tabSelected="1" topLeftCell="A16" workbookViewId="0">
      <selection activeCell="H37" sqref="H37"/>
    </sheetView>
  </sheetViews>
  <sheetFormatPr defaultRowHeight="14.4" x14ac:dyDescent="0.3"/>
  <cols>
    <col min="1" max="1" width="10.44140625" bestFit="1" customWidth="1"/>
    <col min="2" max="2" width="9.5546875" bestFit="1" customWidth="1"/>
    <col min="3" max="3" width="8.21875" customWidth="1"/>
    <col min="4" max="4" width="11.44140625" bestFit="1" customWidth="1"/>
    <col min="5" max="5" width="9" bestFit="1" customWidth="1"/>
    <col min="6" max="6" width="9.44140625" bestFit="1" customWidth="1"/>
    <col min="7" max="7" width="8.77734375" customWidth="1"/>
    <col min="8" max="8" width="9" bestFit="1" customWidth="1"/>
    <col min="9" max="9" width="9.44140625" bestFit="1" customWidth="1"/>
    <col min="11" max="11" width="9.44140625" bestFit="1" customWidth="1"/>
    <col min="12" max="12" width="13.5546875" bestFit="1" customWidth="1"/>
    <col min="14" max="14" width="9.44140625" bestFit="1" customWidth="1"/>
    <col min="15" max="15" width="13.5546875" bestFit="1" customWidth="1"/>
    <col min="17" max="17" width="9.44140625" bestFit="1" customWidth="1"/>
    <col min="18" max="18" width="9" bestFit="1" customWidth="1"/>
  </cols>
  <sheetData>
    <row r="1" spans="1:18" x14ac:dyDescent="0.3">
      <c r="A1" t="s">
        <v>0</v>
      </c>
      <c r="B1" t="s">
        <v>1</v>
      </c>
      <c r="C1" s="1"/>
      <c r="D1" s="1"/>
      <c r="E1" s="1"/>
      <c r="F1" t="s">
        <v>0</v>
      </c>
      <c r="G1" t="s">
        <v>5</v>
      </c>
      <c r="H1" s="1" t="s">
        <v>2</v>
      </c>
      <c r="I1" s="1" t="s">
        <v>3</v>
      </c>
      <c r="K1" s="1" t="s">
        <v>0</v>
      </c>
      <c r="L1" s="1" t="s">
        <v>4</v>
      </c>
      <c r="N1" s="1" t="s">
        <v>0</v>
      </c>
      <c r="O1" s="1" t="s">
        <v>6</v>
      </c>
      <c r="Q1" s="1" t="s">
        <v>0</v>
      </c>
      <c r="R1" s="1" t="s">
        <v>1</v>
      </c>
    </row>
    <row r="2" spans="1:18" x14ac:dyDescent="0.3">
      <c r="A2" s="3">
        <v>0</v>
      </c>
      <c r="B2" s="3">
        <v>0</v>
      </c>
      <c r="C2" s="3">
        <f>A2*A2*$D$2</f>
        <v>0</v>
      </c>
      <c r="D2" s="4">
        <f>5*10^(-8)</f>
        <v>4.9999999999999998E-8</v>
      </c>
      <c r="E2" s="3"/>
      <c r="F2" s="1">
        <v>0</v>
      </c>
      <c r="G2" s="3">
        <v>0</v>
      </c>
      <c r="H2" s="3">
        <v>0</v>
      </c>
      <c r="I2" s="3">
        <v>0</v>
      </c>
      <c r="K2" s="1">
        <v>0</v>
      </c>
      <c r="L2" s="2">
        <v>0</v>
      </c>
      <c r="N2" s="1">
        <v>0</v>
      </c>
      <c r="O2" s="1">
        <v>0</v>
      </c>
      <c r="Q2" s="1">
        <v>0</v>
      </c>
      <c r="R2" s="1">
        <v>0</v>
      </c>
    </row>
    <row r="3" spans="1:18" x14ac:dyDescent="0.3">
      <c r="A3" s="3">
        <v>1000</v>
      </c>
      <c r="B3" s="3">
        <v>2.5000000000000001E-2</v>
      </c>
      <c r="C3" s="3">
        <f t="shared" ref="C3:C10" si="0">A3*A3*$D$2</f>
        <v>4.9999999999999996E-2</v>
      </c>
      <c r="D3">
        <f>0.052</f>
        <v>5.1999999999999998E-2</v>
      </c>
      <c r="F3" s="1">
        <v>1000</v>
      </c>
      <c r="G3" s="3">
        <v>2.5000000000000001E-2</v>
      </c>
      <c r="H3" s="3">
        <v>1.6E-2</v>
      </c>
      <c r="I3" s="3">
        <v>0.02</v>
      </c>
      <c r="K3" s="1">
        <v>1000</v>
      </c>
      <c r="L3" s="2">
        <v>249000</v>
      </c>
      <c r="N3" s="1">
        <v>1000</v>
      </c>
      <c r="O3" s="1">
        <f t="shared" ref="O3:O10" si="1">N3-1</f>
        <v>999</v>
      </c>
      <c r="Q3" s="1">
        <v>1000</v>
      </c>
      <c r="R3" s="1">
        <v>2.5000000000000001E-2</v>
      </c>
    </row>
    <row r="4" spans="1:18" x14ac:dyDescent="0.3">
      <c r="A4" s="3">
        <v>2000</v>
      </c>
      <c r="B4" s="3">
        <v>0.153</v>
      </c>
      <c r="C4" s="3">
        <f t="shared" si="0"/>
        <v>0.19999999999999998</v>
      </c>
      <c r="D4">
        <v>0.193</v>
      </c>
      <c r="F4" s="1">
        <v>2000</v>
      </c>
      <c r="G4" s="3">
        <v>0.153</v>
      </c>
      <c r="H4" s="3">
        <v>6.9000000000000006E-2</v>
      </c>
      <c r="I4" s="3">
        <v>0.9</v>
      </c>
      <c r="K4" s="1">
        <v>2000</v>
      </c>
      <c r="L4" s="2">
        <v>1000000</v>
      </c>
      <c r="N4" s="1">
        <v>2000</v>
      </c>
      <c r="O4" s="1">
        <f t="shared" si="1"/>
        <v>1999</v>
      </c>
      <c r="Q4" s="1">
        <v>2000</v>
      </c>
      <c r="R4" s="1">
        <v>0.153</v>
      </c>
    </row>
    <row r="5" spans="1:18" x14ac:dyDescent="0.3">
      <c r="A5" s="3">
        <v>4000</v>
      </c>
      <c r="B5" s="3">
        <v>0.39700000000000002</v>
      </c>
      <c r="C5" s="3">
        <f t="shared" si="0"/>
        <v>0.79999999999999993</v>
      </c>
      <c r="D5">
        <v>0.82199999999999995</v>
      </c>
      <c r="F5" s="1">
        <v>4000</v>
      </c>
      <c r="G5" s="3">
        <v>0.39700000000000002</v>
      </c>
      <c r="H5" s="3">
        <v>0.20100000000000001</v>
      </c>
      <c r="I5" s="3">
        <v>0.3</v>
      </c>
      <c r="K5" s="1">
        <v>4000</v>
      </c>
      <c r="L5" s="2">
        <v>4063125</v>
      </c>
      <c r="N5" s="1">
        <v>4000</v>
      </c>
      <c r="O5" s="1">
        <f t="shared" si="1"/>
        <v>3999</v>
      </c>
      <c r="Q5" s="1">
        <v>4000</v>
      </c>
      <c r="R5" s="1">
        <v>0.39700000000000002</v>
      </c>
    </row>
    <row r="6" spans="1:18" x14ac:dyDescent="0.3">
      <c r="A6" s="3">
        <v>8000</v>
      </c>
      <c r="B6" s="3">
        <v>0.90600000000000003</v>
      </c>
      <c r="C6" s="3">
        <f t="shared" si="0"/>
        <v>3.1999999999999997</v>
      </c>
      <c r="D6">
        <v>3.1</v>
      </c>
      <c r="F6" s="1">
        <v>8000</v>
      </c>
      <c r="G6" s="3">
        <v>0.90600000000000003</v>
      </c>
      <c r="H6" s="3">
        <v>0.82699999999999996</v>
      </c>
      <c r="I6" s="3">
        <v>0.85</v>
      </c>
      <c r="K6" s="1">
        <v>8000</v>
      </c>
      <c r="L6" s="2">
        <v>16051690</v>
      </c>
      <c r="N6" s="1">
        <v>8000</v>
      </c>
      <c r="O6" s="1">
        <f t="shared" si="1"/>
        <v>7999</v>
      </c>
      <c r="Q6" s="1">
        <v>8000</v>
      </c>
      <c r="R6" s="1">
        <v>0.90600000000000003</v>
      </c>
    </row>
    <row r="7" spans="1:18" x14ac:dyDescent="0.3">
      <c r="A7" s="3">
        <v>16000</v>
      </c>
      <c r="B7" s="3">
        <v>3.4319999999999999</v>
      </c>
      <c r="C7" s="3">
        <f t="shared" si="0"/>
        <v>12.799999999999999</v>
      </c>
      <c r="D7">
        <v>10.02</v>
      </c>
      <c r="F7" s="1">
        <v>16000</v>
      </c>
      <c r="G7" s="3">
        <v>3.4319999999999999</v>
      </c>
      <c r="H7" s="3">
        <v>3.371</v>
      </c>
      <c r="I7" s="3">
        <v>3.4</v>
      </c>
      <c r="K7" s="1">
        <v>16000</v>
      </c>
      <c r="L7" s="2">
        <v>64578566</v>
      </c>
      <c r="N7" s="1">
        <v>16000</v>
      </c>
      <c r="O7" s="1">
        <f t="shared" si="1"/>
        <v>15999</v>
      </c>
      <c r="Q7" s="1">
        <v>16000</v>
      </c>
      <c r="R7" s="1">
        <v>3.4319999999999999</v>
      </c>
    </row>
    <row r="8" spans="1:18" x14ac:dyDescent="0.3">
      <c r="A8" s="3">
        <v>32000</v>
      </c>
      <c r="B8" s="3">
        <v>13.94</v>
      </c>
      <c r="C8" s="3">
        <f t="shared" si="0"/>
        <v>51.199999999999996</v>
      </c>
      <c r="D8">
        <v>38.619999999999997</v>
      </c>
      <c r="F8" s="1">
        <v>32000</v>
      </c>
      <c r="G8" s="3">
        <v>13.94</v>
      </c>
      <c r="H8" s="3">
        <v>13.82</v>
      </c>
      <c r="I8" s="3">
        <v>13.9</v>
      </c>
      <c r="K8" s="1">
        <v>32000</v>
      </c>
      <c r="L8" s="2">
        <v>256179766</v>
      </c>
      <c r="N8" s="1">
        <v>32000</v>
      </c>
      <c r="O8" s="1">
        <f t="shared" si="1"/>
        <v>31999</v>
      </c>
      <c r="Q8" s="1">
        <v>32000</v>
      </c>
      <c r="R8" s="1">
        <v>13.94</v>
      </c>
    </row>
    <row r="9" spans="1:18" x14ac:dyDescent="0.3">
      <c r="A9" s="3">
        <v>64000</v>
      </c>
      <c r="B9" s="3">
        <v>55.92</v>
      </c>
      <c r="C9" s="3">
        <f t="shared" si="0"/>
        <v>204.79999999999998</v>
      </c>
      <c r="D9">
        <v>156.13</v>
      </c>
      <c r="F9" s="1">
        <v>64000</v>
      </c>
      <c r="G9" s="3">
        <v>55.92</v>
      </c>
      <c r="H9" s="3">
        <v>55.69</v>
      </c>
      <c r="I9" s="3">
        <v>55.8</v>
      </c>
      <c r="K9" s="1">
        <v>64000</v>
      </c>
      <c r="L9" s="2">
        <v>1027547140</v>
      </c>
      <c r="N9" s="1">
        <v>64000</v>
      </c>
      <c r="O9" s="1">
        <f t="shared" si="1"/>
        <v>63999</v>
      </c>
      <c r="Q9" s="1">
        <v>64000</v>
      </c>
      <c r="R9" s="1">
        <v>55.92</v>
      </c>
    </row>
    <row r="10" spans="1:18" x14ac:dyDescent="0.3">
      <c r="A10" s="3">
        <v>128000</v>
      </c>
      <c r="B10" s="3">
        <v>437.96</v>
      </c>
      <c r="C10" s="3">
        <f t="shared" si="0"/>
        <v>819.19999999999993</v>
      </c>
      <c r="D10">
        <v>1154.23</v>
      </c>
      <c r="F10" s="1">
        <v>128000</v>
      </c>
      <c r="G10" s="3">
        <v>437.96</v>
      </c>
      <c r="H10" s="3">
        <v>224</v>
      </c>
      <c r="I10" s="3">
        <v>321</v>
      </c>
      <c r="K10" s="1">
        <v>128000</v>
      </c>
      <c r="L10" s="2">
        <v>4101506355</v>
      </c>
      <c r="N10" s="1">
        <v>128000</v>
      </c>
      <c r="O10" s="1">
        <f t="shared" si="1"/>
        <v>127999</v>
      </c>
      <c r="Q10" s="1">
        <v>128000</v>
      </c>
      <c r="R10" s="1">
        <v>437.96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2025-02-23T14:53:39Z</dcterms:created>
  <dcterms:modified xsi:type="dcterms:W3CDTF">2025-02-23T19:23:12Z</dcterms:modified>
</cp:coreProperties>
</file>