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lab2\"/>
    </mc:Choice>
  </mc:AlternateContent>
  <xr:revisionPtr revIDLastSave="0" documentId="8_{513B5F14-307B-48CB-B87B-C96CD8A02D28}" xr6:coauthVersionLast="47" xr6:coauthVersionMax="47" xr10:uidLastSave="{00000000-0000-0000-0000-000000000000}"/>
  <bookViews>
    <workbookView xWindow="-108" yWindow="-108" windowWidth="23256" windowHeight="12456" xr2:uid="{32EA7411-C620-41FB-9AD4-35D1DAF13A2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4" i="1"/>
  <c r="H4" i="1"/>
  <c r="I3" i="1"/>
  <c r="D2" i="1"/>
  <c r="C5" i="1"/>
  <c r="C8" i="1"/>
  <c r="C3" i="1" l="1"/>
  <c r="C4" i="1"/>
  <c r="C10" i="1"/>
  <c r="C9" i="1"/>
  <c r="C7" i="1"/>
  <c r="C6" i="1"/>
</calcChain>
</file>

<file path=xl/sharedStrings.xml><?xml version="1.0" encoding="utf-8"?>
<sst xmlns="http://schemas.openxmlformats.org/spreadsheetml/2006/main" count="12" uniqueCount="8">
  <si>
    <t>Длина</t>
  </si>
  <si>
    <t>Время</t>
  </si>
  <si>
    <t>Макс</t>
  </si>
  <si>
    <t>Мин</t>
  </si>
  <si>
    <t>Среднее</t>
  </si>
  <si>
    <t>Глубина рекурсии</t>
  </si>
  <si>
    <t>Рекурсивные вызовы</t>
  </si>
  <si>
    <t>Дополнительная память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</si>
</sst>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8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  <a:r>
              <a:rPr lang="ru-RU" baseline="0"/>
              <a:t> сортировки слиянием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Максимальное время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Лист1!$A$2:$A$10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Лист1!$B$2:$B$10</c:f>
              <c:numCache>
                <c:formatCode>0.00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7.0000000000000001E-3</c:v>
                </c:pt>
                <c:pt idx="4">
                  <c:v>1.4999999999999999E-2</c:v>
                </c:pt>
                <c:pt idx="5">
                  <c:v>4.1000000000000002E-2</c:v>
                </c:pt>
                <c:pt idx="6">
                  <c:v>6.3E-2</c:v>
                </c:pt>
                <c:pt idx="7">
                  <c:v>0.127</c:v>
                </c:pt>
                <c:pt idx="8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8-4D01-8A37-6AABB2C68C11}"/>
            </c:ext>
          </c:extLst>
        </c:ser>
        <c:ser>
          <c:idx val="1"/>
          <c:order val="1"/>
          <c:tx>
            <c:v>O(nlgn)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Лист1!$A$2:$A$10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Лист1!$C$2:$C$10</c:f>
              <c:numCache>
                <c:formatCode>0.00</c:formatCode>
                <c:ptCount val="9"/>
                <c:pt idx="0">
                  <c:v>0</c:v>
                </c:pt>
                <c:pt idx="1">
                  <c:v>5.0171665943996866E-3</c:v>
                </c:pt>
                <c:pt idx="2">
                  <c:v>9.1192747736129239E-3</c:v>
                </c:pt>
                <c:pt idx="3">
                  <c:v>1.6714324380422172E-2</c:v>
                </c:pt>
                <c:pt idx="4">
                  <c:v>3.0850428421301226E-2</c:v>
                </c:pt>
                <c:pt idx="5">
                  <c:v>5.7282855276420061E-2</c:v>
                </c:pt>
                <c:pt idx="6">
                  <c:v>0.10691053469478271</c:v>
                </c:pt>
                <c:pt idx="7">
                  <c:v>0.20042861302304807</c:v>
                </c:pt>
                <c:pt idx="8">
                  <c:v>0.37722983462579557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8-4D01-8A37-6AABB2C6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67192"/>
        <c:axId val="748574392"/>
      </c:scatterChart>
      <c:valAx>
        <c:axId val="74856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</a:t>
                </a:r>
                <a:r>
                  <a:rPr lang="ru-RU" baseline="0"/>
                  <a:t>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7439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74857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67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Разброс</a:t>
            </a:r>
            <a:r>
              <a:rPr lang="ru-RU" baseline="0"/>
              <a:t> времени исполнения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Макс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Лист1!$G$2:$G$10</c:f>
              <c:numCache>
                <c:formatCode>0.00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7.0000000000000001E-3</c:v>
                </c:pt>
                <c:pt idx="4">
                  <c:v>1.4999999999999999E-2</c:v>
                </c:pt>
                <c:pt idx="5">
                  <c:v>4.1000000000000002E-2</c:v>
                </c:pt>
                <c:pt idx="6">
                  <c:v>6.3E-2</c:v>
                </c:pt>
                <c:pt idx="7">
                  <c:v>0.127</c:v>
                </c:pt>
                <c:pt idx="8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9-4F20-9DC7-5A9FDA3C71B6}"/>
            </c:ext>
          </c:extLst>
        </c:ser>
        <c:ser>
          <c:idx val="1"/>
          <c:order val="1"/>
          <c:tx>
            <c:v>Мин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Лист1!$H$2:$H$10</c:f>
              <c:numCache>
                <c:formatCode>0.00</c:formatCode>
                <c:ptCount val="9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6.0000000000000001E-3</c:v>
                </c:pt>
                <c:pt idx="4">
                  <c:v>1.2E-2</c:v>
                </c:pt>
                <c:pt idx="5">
                  <c:v>2.5000000000000001E-2</c:v>
                </c:pt>
                <c:pt idx="6">
                  <c:v>5.1999999999999998E-2</c:v>
                </c:pt>
                <c:pt idx="7">
                  <c:v>0.10100000000000001</c:v>
                </c:pt>
                <c:pt idx="8">
                  <c:v>0.20699999999999999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D9-4F20-9DC7-5A9FDA3C71B6}"/>
            </c:ext>
          </c:extLst>
        </c:ser>
        <c:ser>
          <c:idx val="2"/>
          <c:order val="2"/>
          <c:tx>
            <c:v>Среднее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Лист1!$I$2:$I$10</c:f>
              <c:numCache>
                <c:formatCode>0.00</c:formatCode>
                <c:ptCount val="9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7.0000000000000001E-3</c:v>
                </c:pt>
                <c:pt idx="4">
                  <c:v>1.4E-2</c:v>
                </c:pt>
                <c:pt idx="5">
                  <c:v>3.2000000000000001E-2</c:v>
                </c:pt>
                <c:pt idx="6">
                  <c:v>5.7000000000000002E-2</c:v>
                </c:pt>
                <c:pt idx="7">
                  <c:v>0.11</c:v>
                </c:pt>
                <c:pt idx="8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D9-4F20-9DC7-5A9FDA3C7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991640"/>
        <c:axId val="652988400"/>
      </c:scatterChart>
      <c:valAx>
        <c:axId val="65299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8840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6529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2991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Глубина рекурсии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Лист1!$K$2:$K$10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Лист1!$L$2:$L$10</c:f>
              <c:numCache>
                <c:formatCode>0.00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12</c:v>
                </c:pt>
                <c:pt idx="3" formatCode="General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F-40E1-B72E-66BEC630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356288"/>
        <c:axId val="520357008"/>
      </c:scatterChart>
      <c:valAx>
        <c:axId val="52035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35700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5203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Глубина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35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Рекурсивные вызовы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Лист1!$N$2:$N$10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Лист1!$O$2:$O$10</c:f>
              <c:numCache>
                <c:formatCode>0.00</c:formatCode>
                <c:ptCount val="9"/>
                <c:pt idx="0">
                  <c:v>0</c:v>
                </c:pt>
                <c:pt idx="1">
                  <c:v>1999</c:v>
                </c:pt>
                <c:pt idx="2">
                  <c:v>3999</c:v>
                </c:pt>
                <c:pt idx="3">
                  <c:v>7999</c:v>
                </c:pt>
                <c:pt idx="4">
                  <c:v>15999</c:v>
                </c:pt>
                <c:pt idx="5">
                  <c:v>31999</c:v>
                </c:pt>
                <c:pt idx="6">
                  <c:v>63999</c:v>
                </c:pt>
                <c:pt idx="7">
                  <c:v>127999</c:v>
                </c:pt>
                <c:pt idx="8">
                  <c:v>255999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76-4966-AAEF-8151BEA8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72952"/>
        <c:axId val="748574752"/>
      </c:scatterChart>
      <c:valAx>
        <c:axId val="748572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7475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7485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72952"/>
        <c:crosses val="autoZero"/>
        <c:crossBetween val="midCat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Дополнительная</a:t>
            </a:r>
            <a:r>
              <a:rPr lang="ru-RU" baseline="0"/>
              <a:t> память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Лист1!$B$45:$B$53</c:f>
              <c:numCache>
                <c:formatCode>0.00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8000</c:v>
                </c:pt>
                <c:pt idx="5">
                  <c:v>16000</c:v>
                </c:pt>
                <c:pt idx="6">
                  <c:v>32000</c:v>
                </c:pt>
                <c:pt idx="7">
                  <c:v>64000</c:v>
                </c:pt>
                <c:pt idx="8">
                  <c:v>128000</c:v>
                </c:pt>
              </c:numCache>
            </c:numRef>
          </c:xVal>
          <c:yVal>
            <c:numRef>
              <c:f>Лист1!$C$45:$C$53</c:f>
              <c:numCache>
                <c:formatCode>0.00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16000</c:v>
                </c:pt>
                <c:pt idx="3">
                  <c:v>32000</c:v>
                </c:pt>
                <c:pt idx="4">
                  <c:v>64000</c:v>
                </c:pt>
                <c:pt idx="5">
                  <c:v>128000</c:v>
                </c:pt>
                <c:pt idx="6">
                  <c:v>256000</c:v>
                </c:pt>
                <c:pt idx="7">
                  <c:v>512000</c:v>
                </c:pt>
                <c:pt idx="8" formatCode="0.0">
                  <c:v>1024000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76-4FD4-8A4D-424DE940C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67192"/>
        <c:axId val="748572952"/>
      </c:scatterChart>
      <c:valAx>
        <c:axId val="74856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 массива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7295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74857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Память</a:t>
                </a:r>
                <a:r>
                  <a:rPr lang="ru-RU" baseline="0"/>
                  <a:t>, байт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8567192"/>
        <c:crosses val="autoZero"/>
        <c:crossBetween val="midCat"/>
        <c:dispUnits>
          <c:builtInUnit val="hundred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10</xdr:row>
      <xdr:rowOff>179070</xdr:rowOff>
    </xdr:from>
    <xdr:to>
      <xdr:col>7</xdr:col>
      <xdr:colOff>312420</xdr:colOff>
      <xdr:row>25</xdr:row>
      <xdr:rowOff>179070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6A555D3-7E13-9B0F-DAE7-0795A4551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259080</xdr:colOff>
      <xdr:row>11</xdr:row>
      <xdr:rowOff>19050</xdr:rowOff>
    </xdr:from>
    <xdr:to>
      <xdr:col>15</xdr:col>
      <xdr:colOff>556260</xdr:colOff>
      <xdr:row>26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F29C235-57D3-04DE-8C20-35DB3DB67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26</xdr:row>
      <xdr:rowOff>156210</xdr:rowOff>
    </xdr:from>
    <xdr:to>
      <xdr:col>7</xdr:col>
      <xdr:colOff>320040</xdr:colOff>
      <xdr:row>41</xdr:row>
      <xdr:rowOff>156210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736D670-8FF8-8186-E639-75AFC897B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236220</xdr:colOff>
      <xdr:row>27</xdr:row>
      <xdr:rowOff>26670</xdr:rowOff>
    </xdr:from>
    <xdr:to>
      <xdr:col>15</xdr:col>
      <xdr:colOff>419100</xdr:colOff>
      <xdr:row>42</xdr:row>
      <xdr:rowOff>26670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43CCEA8-A4BC-583F-90DD-4C00FC62B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175260</xdr:colOff>
      <xdr:row>44</xdr:row>
      <xdr:rowOff>87630</xdr:rowOff>
    </xdr:from>
    <xdr:to>
      <xdr:col>13</xdr:col>
      <xdr:colOff>419100</xdr:colOff>
      <xdr:row>59</xdr:row>
      <xdr:rowOff>87630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63FBDD8-F0C8-0254-86B9-AC1042E02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C975-7246-4DFB-BA50-FBE92BD88E30}">
  <dimension ref="A1:O53"/>
  <sheetViews>
    <sheetView tabSelected="1" topLeftCell="A31" workbookViewId="0">
      <selection activeCell="E50" sqref="E50"/>
    </sheetView>
  </sheetViews>
  <sheetFormatPr defaultRowHeight="14.4" x14ac:dyDescent="0.3"/>
  <cols>
    <col min="1" max="2" width="9.44140625" bestFit="1" customWidth="1"/>
    <col min="3" max="3" width="9.6640625" customWidth="1"/>
    <col min="6" max="6" width="9.44140625" bestFit="1" customWidth="1"/>
    <col min="7" max="9" width="9" bestFit="1" customWidth="1"/>
    <col min="11" max="11" width="9.44140625" bestFit="1" customWidth="1"/>
    <col min="14" max="15" width="9.44140625" bestFit="1" customWidth="1"/>
  </cols>
  <sheetData>
    <row r="1" spans="1:15" x14ac:dyDescent="0.3">
      <c r="A1" s="1" t="s">
        <v>0</v>
      </c>
      <c r="B1" s="1" t="s">
        <v>1</v>
      </c>
      <c r="C1" s="1"/>
      <c r="F1" s="1" t="s">
        <v>0</v>
      </c>
      <c r="G1" s="1" t="s">
        <v>2</v>
      </c>
      <c r="H1" s="1" t="s">
        <v>3</v>
      </c>
      <c r="I1" s="1" t="s">
        <v>4</v>
      </c>
      <c r="K1" s="1" t="s">
        <v>0</v>
      </c>
      <c r="L1" s="1" t="s">
        <v>5</v>
      </c>
      <c r="N1" s="1" t="s">
        <v>0</v>
      </c>
      <c r="O1" s="1" t="s">
        <v>6</v>
      </c>
    </row>
    <row r="2" spans="1:15" x14ac:dyDescent="0.3">
      <c r="A2" s="1">
        <v>0</v>
      </c>
      <c r="B2" s="1">
        <v>0</v>
      </c>
      <c r="C2" s="1">
        <v>0</v>
      </c>
      <c r="D2">
        <f>5*10^-5</f>
        <v>5.0000000000000002E-5</v>
      </c>
      <c r="F2" s="1">
        <v>0</v>
      </c>
      <c r="G2" s="1">
        <v>0</v>
      </c>
      <c r="H2" s="1">
        <v>0</v>
      </c>
      <c r="I2" s="1">
        <v>0</v>
      </c>
      <c r="K2" s="1">
        <v>0</v>
      </c>
      <c r="L2" s="1">
        <v>0</v>
      </c>
      <c r="N2" s="1">
        <v>0</v>
      </c>
      <c r="O2" s="1">
        <v>0</v>
      </c>
    </row>
    <row r="3" spans="1:15" x14ac:dyDescent="0.3">
      <c r="A3" s="1">
        <v>1000</v>
      </c>
      <c r="B3" s="1">
        <v>2E-3</v>
      </c>
      <c r="C3" s="1">
        <f t="shared" ref="C2:C3" si="0">A3*LOG(2,A3)*$D$2</f>
        <v>5.0171665943996866E-3</v>
      </c>
      <c r="F3" s="1">
        <v>1000</v>
      </c>
      <c r="G3" s="1">
        <v>2E-3</v>
      </c>
      <c r="H3" s="1">
        <v>1E-3</v>
      </c>
      <c r="I3" s="1">
        <f>0.002</f>
        <v>2E-3</v>
      </c>
      <c r="K3" s="1">
        <v>1000</v>
      </c>
      <c r="L3" s="1">
        <v>11</v>
      </c>
      <c r="N3" s="1">
        <v>1000</v>
      </c>
      <c r="O3" s="1">
        <v>1999</v>
      </c>
    </row>
    <row r="4" spans="1:15" x14ac:dyDescent="0.3">
      <c r="A4" s="1">
        <v>2000</v>
      </c>
      <c r="B4" s="1">
        <v>4.0000000000000001E-3</v>
      </c>
      <c r="C4" s="1">
        <f>A4*LOG(2,A4)*$D$2</f>
        <v>9.1192747736129239E-3</v>
      </c>
      <c r="F4" s="1">
        <v>2000</v>
      </c>
      <c r="G4" s="1">
        <v>4.0000000000000001E-3</v>
      </c>
      <c r="H4" s="1">
        <f>0.003</f>
        <v>3.0000000000000001E-3</v>
      </c>
      <c r="I4" s="1">
        <f>0.004</f>
        <v>4.0000000000000001E-3</v>
      </c>
      <c r="K4" s="1">
        <v>2000</v>
      </c>
      <c r="L4" s="1">
        <v>12</v>
      </c>
      <c r="N4" s="1">
        <v>2000</v>
      </c>
      <c r="O4" s="1">
        <v>3999</v>
      </c>
    </row>
    <row r="5" spans="1:15" x14ac:dyDescent="0.3">
      <c r="A5" s="1">
        <v>4000</v>
      </c>
      <c r="B5" s="1">
        <v>7.0000000000000001E-3</v>
      </c>
      <c r="C5" s="1">
        <f t="shared" ref="C5:C10" si="1">A5*LOG(2,A5)*$D$2</f>
        <v>1.6714324380422172E-2</v>
      </c>
      <c r="F5" s="1">
        <v>4000</v>
      </c>
      <c r="G5" s="1">
        <v>7.0000000000000001E-3</v>
      </c>
      <c r="H5" s="1">
        <v>6.0000000000000001E-3</v>
      </c>
      <c r="I5" s="1">
        <v>7.0000000000000001E-3</v>
      </c>
      <c r="K5" s="1">
        <v>4000</v>
      </c>
      <c r="L5">
        <v>13</v>
      </c>
      <c r="N5" s="1">
        <v>4000</v>
      </c>
      <c r="O5" s="1">
        <v>7999</v>
      </c>
    </row>
    <row r="6" spans="1:15" x14ac:dyDescent="0.3">
      <c r="A6" s="1">
        <v>8000</v>
      </c>
      <c r="B6" s="1">
        <v>1.4999999999999999E-2</v>
      </c>
      <c r="C6" s="1">
        <f t="shared" si="1"/>
        <v>3.0850428421301226E-2</v>
      </c>
      <c r="F6" s="1">
        <v>8000</v>
      </c>
      <c r="G6" s="1">
        <v>1.4999999999999999E-2</v>
      </c>
      <c r="H6" s="1">
        <v>1.2E-2</v>
      </c>
      <c r="I6" s="1">
        <v>1.4E-2</v>
      </c>
      <c r="K6" s="1">
        <v>8000</v>
      </c>
      <c r="L6" s="1">
        <v>14</v>
      </c>
      <c r="N6" s="1">
        <v>8000</v>
      </c>
      <c r="O6" s="1">
        <v>15999</v>
      </c>
    </row>
    <row r="7" spans="1:15" x14ac:dyDescent="0.3">
      <c r="A7" s="1">
        <v>16000</v>
      </c>
      <c r="B7" s="1">
        <v>4.1000000000000002E-2</v>
      </c>
      <c r="C7" s="1">
        <f t="shared" si="1"/>
        <v>5.7282855276420061E-2</v>
      </c>
      <c r="F7" s="1">
        <v>16000</v>
      </c>
      <c r="G7" s="1">
        <v>4.1000000000000002E-2</v>
      </c>
      <c r="H7" s="1">
        <v>2.5000000000000001E-2</v>
      </c>
      <c r="I7" s="1">
        <v>3.2000000000000001E-2</v>
      </c>
      <c r="K7" s="1">
        <v>16000</v>
      </c>
      <c r="L7" s="1">
        <v>15</v>
      </c>
      <c r="N7" s="1">
        <v>16000</v>
      </c>
      <c r="O7" s="1">
        <v>31999</v>
      </c>
    </row>
    <row r="8" spans="1:15" x14ac:dyDescent="0.3">
      <c r="A8" s="1">
        <v>32000</v>
      </c>
      <c r="B8" s="1">
        <v>6.3E-2</v>
      </c>
      <c r="C8" s="1">
        <f t="shared" si="1"/>
        <v>0.10691053469478271</v>
      </c>
      <c r="F8" s="1">
        <v>32000</v>
      </c>
      <c r="G8" s="1">
        <v>6.3E-2</v>
      </c>
      <c r="H8" s="1">
        <v>5.1999999999999998E-2</v>
      </c>
      <c r="I8" s="1">
        <v>5.7000000000000002E-2</v>
      </c>
      <c r="K8" s="1">
        <v>32000</v>
      </c>
      <c r="L8" s="1">
        <v>16</v>
      </c>
      <c r="N8" s="1">
        <v>32000</v>
      </c>
      <c r="O8" s="1">
        <v>63999</v>
      </c>
    </row>
    <row r="9" spans="1:15" x14ac:dyDescent="0.3">
      <c r="A9" s="1">
        <v>64000</v>
      </c>
      <c r="B9" s="1">
        <v>0.127</v>
      </c>
      <c r="C9" s="1">
        <f t="shared" si="1"/>
        <v>0.20042861302304807</v>
      </c>
      <c r="F9" s="1">
        <v>64000</v>
      </c>
      <c r="G9" s="1">
        <v>0.127</v>
      </c>
      <c r="H9" s="1">
        <v>0.10100000000000001</v>
      </c>
      <c r="I9" s="1">
        <f>0.11</f>
        <v>0.11</v>
      </c>
      <c r="K9" s="1">
        <v>64000</v>
      </c>
      <c r="L9" s="1">
        <v>17</v>
      </c>
      <c r="N9" s="1">
        <v>64000</v>
      </c>
      <c r="O9" s="1">
        <v>127999</v>
      </c>
    </row>
    <row r="10" spans="1:15" x14ac:dyDescent="0.3">
      <c r="A10" s="1">
        <v>128000</v>
      </c>
      <c r="B10" s="1">
        <v>0.21</v>
      </c>
      <c r="C10" s="1">
        <f t="shared" si="1"/>
        <v>0.37722983462579557</v>
      </c>
      <c r="F10" s="1">
        <v>128000</v>
      </c>
      <c r="G10" s="1">
        <v>0.21</v>
      </c>
      <c r="H10" s="1">
        <v>0.20699999999999999</v>
      </c>
      <c r="I10" s="1">
        <v>0.21</v>
      </c>
      <c r="K10" s="1">
        <v>128000</v>
      </c>
      <c r="L10" s="1">
        <v>18</v>
      </c>
      <c r="N10" s="1">
        <v>128000</v>
      </c>
      <c r="O10" s="1">
        <v>255999</v>
      </c>
    </row>
    <row r="44" spans="2:3" x14ac:dyDescent="0.3">
      <c r="B44" s="1" t="s">
        <v>0</v>
      </c>
      <c r="C44" s="1" t="s">
        <v>7</v>
      </c>
    </row>
    <row r="45" spans="2:3" x14ac:dyDescent="0.3">
      <c r="B45" s="1">
        <v>0</v>
      </c>
      <c r="C45" s="1">
        <v>0</v>
      </c>
    </row>
    <row r="46" spans="2:3" x14ac:dyDescent="0.3">
      <c r="B46" s="1">
        <v>1000</v>
      </c>
      <c r="C46" s="1">
        <v>8000</v>
      </c>
    </row>
    <row r="47" spans="2:3" x14ac:dyDescent="0.3">
      <c r="B47" s="1">
        <v>2000</v>
      </c>
      <c r="C47" s="1">
        <v>16000</v>
      </c>
    </row>
    <row r="48" spans="2:3" x14ac:dyDescent="0.3">
      <c r="B48" s="1">
        <v>4000</v>
      </c>
      <c r="C48" s="1">
        <v>32000</v>
      </c>
    </row>
    <row r="49" spans="2:3" x14ac:dyDescent="0.3">
      <c r="B49" s="1">
        <v>8000</v>
      </c>
      <c r="C49" s="1">
        <v>64000</v>
      </c>
    </row>
    <row r="50" spans="2:3" x14ac:dyDescent="0.3">
      <c r="B50" s="1">
        <v>16000</v>
      </c>
      <c r="C50" s="1">
        <v>128000</v>
      </c>
    </row>
    <row r="51" spans="2:3" x14ac:dyDescent="0.3">
      <c r="B51" s="1">
        <v>32000</v>
      </c>
      <c r="C51" s="1">
        <v>256000</v>
      </c>
    </row>
    <row r="52" spans="2:3" x14ac:dyDescent="0.3">
      <c r="B52" s="1">
        <v>64000</v>
      </c>
      <c r="C52" s="1">
        <v>512000</v>
      </c>
    </row>
    <row r="53" spans="2:3" x14ac:dyDescent="0.3">
      <c r="B53" s="1">
        <v>128000</v>
      </c>
      <c r="C53" s="2">
        <v>1024000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2025-02-23T17:40:23Z</dcterms:created>
  <dcterms:modified xsi:type="dcterms:W3CDTF">2025-02-23T19:14:12Z</dcterms:modified>
</cp:coreProperties>
</file>